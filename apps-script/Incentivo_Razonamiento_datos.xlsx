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puestas" sheetId="2" state="visible" r:id="rId2"/>
    <sheet xmlns:r="http://schemas.openxmlformats.org/officeDocument/2006/relationships" name="Asignacione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Lee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47E8"/>
      <sz val="16"/>
    </font>
    <font>
      <name val="Arial"/>
      <color rgb="00001447"/>
      <sz val="10"/>
    </font>
    <font>
      <name val="Arial"/>
      <b val="1"/>
    </font>
    <font>
      <name val="Arial"/>
      <i val="1"/>
      <color rgb="0043506B"/>
      <sz val="9"/>
    </font>
    <font>
      <name val="Arial"/>
    </font>
    <font>
      <name val="Arial"/>
      <b val="1"/>
      <color rgb="000047E8"/>
    </font>
    <font>
      <name val="Arial"/>
      <b val="1"/>
      <color rgb="000047E8"/>
      <sz val="13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047E8"/>
      </patternFill>
    </fill>
    <fill>
      <patternFill patternType="solid">
        <fgColor rgb="00FFF3E0"/>
      </patternFill>
    </fill>
    <fill>
      <patternFill patternType="solid">
        <fgColor rgb="00001447"/>
      </patternFill>
    </fill>
    <fill>
      <patternFill patternType="solid">
        <fgColor rgb="00EA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6" fillId="0" borderId="0" pivotButton="0" quotePrefix="0" xfId="0"/>
    <xf numFmtId="2" fontId="6" fillId="0" borderId="0" pivotButton="0" quotePrefix="0" xfId="0"/>
    <xf numFmtId="9" fontId="6" fillId="0" borderId="0" pivotButton="0" quotePrefix="0" xfId="0"/>
    <xf numFmtId="0" fontId="1" fillId="4" borderId="0" applyAlignment="1" pivotButton="0" quotePrefix="0" xfId="0">
      <alignment vertical="center" wrapText="1"/>
    </xf>
    <xf numFmtId="164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2" fontId="0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Incentivo × Dificultad en razonamiento · Resumen en vivo</t>
        </is>
      </c>
    </row>
    <row r="2">
      <c r="A2" s="2" t="inlineStr">
        <is>
          <t>ESIC University · Métodos, Diseño y Técnicas de Investigación en Psicología · Tema 6 (diseños factoriales)</t>
        </is>
      </c>
    </row>
    <row r="4">
      <c r="A4" t="inlineStr">
        <is>
          <t>Cohorte a analizar (vacío = todas):</t>
        </is>
      </c>
      <c r="B4" s="3" t="inlineStr"/>
    </row>
    <row r="5" ht="32" customHeight="1">
      <c r="A5" s="4" t="inlineStr">
        <is>
          <t>Se excluyen automáticamente: participaciones marcadas como sospechosas (sospechoso = 1), quienes ya habían hecho la tarea y quienes declaran interrupciones. El análisis completo (efectos simples, tiempos, matriz Q, calidad de datos) está en la pestaña «Resultados» de la web.</t>
        </is>
      </c>
    </row>
    <row r="7">
      <c r="A7" s="5" t="inlineStr">
        <is>
          <t>Descriptivos (aciertos)</t>
        </is>
      </c>
      <c r="B7" s="5" t="inlineStr">
        <is>
          <t>n</t>
        </is>
      </c>
      <c r="C7" s="5" t="inlineStr">
        <is>
          <t>Fácil: media</t>
        </is>
      </c>
      <c r="D7" s="5" t="inlineStr">
        <is>
          <t>Fácil: DE</t>
        </is>
      </c>
      <c r="E7" s="5" t="inlineStr">
        <is>
          <t>Difícil: media</t>
        </is>
      </c>
      <c r="F7" s="5" t="inlineStr">
        <is>
          <t>Difícil: DE</t>
        </is>
      </c>
      <c r="G7" s="5" t="inlineStr">
        <is>
          <t>Total: media</t>
        </is>
      </c>
      <c r="H7" s="5" t="inlineStr">
        <is>
          <t>≥ umbral (%)</t>
        </is>
      </c>
    </row>
    <row r="8">
      <c r="A8" s="6" t="inlineStr">
        <is>
          <t>Incentivo</t>
        </is>
      </c>
      <c r="B8" s="6">
        <f>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)</f>
        <v/>
      </c>
      <c r="C8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Respuestas!$U$2:$U$3000)/B8,"")</f>
        <v/>
      </c>
      <c r="D8" s="7">
        <f>IFERROR(SQRT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U$2:$U$3000-C8)^2)/(B8-1)),"")</f>
        <v/>
      </c>
      <c r="E8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Respuestas!$X$2:$X$3000)/B8,"")</f>
        <v/>
      </c>
      <c r="F8" s="7">
        <f>IFERROR(SQRT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X$2:$X$3000-E8)^2)/(B8-1)),"")</f>
        <v/>
      </c>
      <c r="G8" s="7">
        <f>IFERROR(C8+E8,"")</f>
        <v/>
      </c>
      <c r="H8" s="8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(Respuestas!$U$2:$U$3000+Respuestas!$X$2:$X$3000)&gt;=$B$12))/B8,"")</f>
        <v/>
      </c>
    </row>
    <row r="9">
      <c r="A9" s="6" t="inlineStr">
        <is>
          <t>Control</t>
        </is>
      </c>
      <c r="B9" s="6">
        <f>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)</f>
        <v/>
      </c>
      <c r="C9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Respuestas!$U$2:$U$3000)/B9,"")</f>
        <v/>
      </c>
      <c r="D9" s="7">
        <f>IFERROR(SQRT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U$2:$U$3000-C9)^2)/(B9-1)),"")</f>
        <v/>
      </c>
      <c r="E9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Respuestas!$X$2:$X$3000)/B9,"")</f>
        <v/>
      </c>
      <c r="F9" s="7">
        <f>IFERROR(SQRT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X$2:$X$3000-E9)^2)/(B9-1)),"")</f>
        <v/>
      </c>
      <c r="G9" s="7">
        <f>IFERROR(C9+E9,"")</f>
        <v/>
      </c>
      <c r="H9" s="8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(Respuestas!$U$2:$U$3000+Respuestas!$X$2:$X$3000)&gt;=$B$12))/B9,"")</f>
        <v/>
      </c>
    </row>
    <row r="10">
      <c r="A10" s="6" t="inlineStr">
        <is>
          <t>Total</t>
        </is>
      </c>
      <c r="B10" s="6">
        <f>B8+B9</f>
        <v/>
      </c>
      <c r="C10" s="7">
        <f>IFERROR((B8*C8+B9*C9)/B10,"")</f>
        <v/>
      </c>
      <c r="D10" s="6" t="n"/>
      <c r="E10" s="7">
        <f>IFERROR((B8*E8+B9*E9)/B10,"")</f>
        <v/>
      </c>
      <c r="F10" s="6" t="n"/>
      <c r="G10" s="7">
        <f>IFERROR(C10+E10,"")</f>
        <v/>
      </c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inlineStr">
        <is>
          <t>Umbral del premio (aciertos)</t>
        </is>
      </c>
      <c r="B12" s="6" t="n">
        <v>10</v>
      </c>
      <c r="C12" s="6" t="n"/>
      <c r="D12" s="6" t="n"/>
      <c r="E12" s="6" t="n"/>
      <c r="F12" s="6" t="n"/>
      <c r="G12" s="6" t="n"/>
      <c r="H12" s="6" t="n"/>
    </row>
    <row r="13">
      <c r="A13" s="6" t="inlineStr">
        <is>
          <t>Cafés a pagar (grupo incentivo que supera el umbral)</t>
        </is>
      </c>
      <c r="B13" s="6">
        <f>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(Respuestas!$U$2:$U$3000+Respuestas!$X$2:$X$3000)&gt;=$B$12))</f>
        <v/>
      </c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9" t="inlineStr">
        <is>
          <t>Auxiliares por grupo</t>
        </is>
      </c>
      <c r="B15" s="9" t="inlineStr">
        <is>
          <t>n</t>
        </is>
      </c>
      <c r="C15" s="9" t="inlineStr">
        <is>
          <t>media s</t>
        </is>
      </c>
      <c r="D15" s="9" t="inlineStr">
        <is>
          <t>SC dentro s</t>
        </is>
      </c>
      <c r="E15" s="9" t="inlineStr">
        <is>
          <t>media d</t>
        </is>
      </c>
      <c r="F15" s="9" t="inlineStr">
        <is>
          <t>SC dentro d</t>
        </is>
      </c>
      <c r="G15" s="6" t="n"/>
      <c r="H15" s="6" t="n"/>
    </row>
    <row r="16">
      <c r="A16" s="6" t="inlineStr">
        <is>
          <t>Incentivo</t>
        </is>
      </c>
      <c r="B16" s="6">
        <f>B8</f>
        <v/>
      </c>
      <c r="C16" s="10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U$2:$U$3000+Respuestas!$X$2:$X$3000)/2)/B16,"")</f>
        <v/>
      </c>
      <c r="D16" s="10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(Respuestas!$U$2:$U$3000+Respuestas!$X$2:$X$3000)/2-C16)^2),"")</f>
        <v/>
      </c>
      <c r="E16" s="10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U$2:$U$3000-Respuestas!$X$2:$X$3000))/B16,"")</f>
        <v/>
      </c>
      <c r="F16" s="10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(Respuestas!$U$2:$U$3000-Respuestas!$X$2:$X$3000)-E16)^2),"")</f>
        <v/>
      </c>
      <c r="G16" s="6" t="n"/>
      <c r="H16" s="6" t="n"/>
    </row>
    <row r="17">
      <c r="A17" s="6" t="inlineStr">
        <is>
          <t>Control</t>
        </is>
      </c>
      <c r="B17" s="6">
        <f>B9</f>
        <v/>
      </c>
      <c r="C17" s="10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U$2:$U$3000+Respuestas!$X$2:$X$3000)/2)/B17,"")</f>
        <v/>
      </c>
      <c r="D17" s="10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(Respuestas!$U$2:$U$3000+Respuestas!$X$2:$X$3000)/2-C17)^2),"")</f>
        <v/>
      </c>
      <c r="E17" s="10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U$2:$U$3000-Respuestas!$X$2:$X$3000))/B17,"")</f>
        <v/>
      </c>
      <c r="F17" s="10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(Respuestas!$U$2:$U$3000-Respuestas!$X$2:$X$3000)-E17)^2),"")</f>
        <v/>
      </c>
      <c r="G17" s="6" t="n"/>
      <c r="H17" s="6" t="n"/>
    </row>
    <row r="18">
      <c r="A18" s="6" t="inlineStr">
        <is>
          <t>Medias globales (ponderadas)</t>
        </is>
      </c>
      <c r="B18" s="6" t="n"/>
      <c r="C18" s="10">
        <f>IFERROR((B16*C16+B17*C17)/(B16+B17),"")</f>
        <v/>
      </c>
      <c r="D18" s="6" t="n"/>
      <c r="E18" s="10">
        <f>IFERROR((B16*E16+B17*E17)/(B16+B17),"")</f>
        <v/>
      </c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inlineStr">
        <is>
          <t>ANOVA mixto 2 × 2 (SC tipo III, como JASP)</t>
        </is>
      </c>
      <c r="B20" s="5" t="inlineStr">
        <is>
          <t>SC</t>
        </is>
      </c>
      <c r="C20" s="5" t="inlineStr">
        <is>
          <t>gl</t>
        </is>
      </c>
      <c r="D20" s="5" t="inlineStr">
        <is>
          <t>MC</t>
        </is>
      </c>
      <c r="E20" s="5" t="inlineStr">
        <is>
          <t>F</t>
        </is>
      </c>
      <c r="F20" s="5" t="inlineStr">
        <is>
          <t>p</t>
        </is>
      </c>
      <c r="G20" s="5" t="inlineStr">
        <is>
          <t>η² parcial</t>
        </is>
      </c>
      <c r="H20" s="6" t="n"/>
    </row>
    <row r="21">
      <c r="A21" s="6" t="inlineStr">
        <is>
          <t>Dificultad (intra)</t>
        </is>
      </c>
      <c r="B21" s="10">
        <f>IFERROR(E21*D23,"")</f>
        <v/>
      </c>
      <c r="C21" s="6" t="n">
        <v>1</v>
      </c>
      <c r="D21" s="10">
        <f>IFERROR(B21/C21,"")</f>
        <v/>
      </c>
      <c r="E21" s="10">
        <f>IFERROR(((E16+E17)/2)^2/(((F16+F17)/(B16+B17-2))*(1/B16+1/B17)/4),"")</f>
        <v/>
      </c>
      <c r="F21" s="10">
        <f>IFERROR(FDIST(E21,C21,C23),"")</f>
        <v/>
      </c>
      <c r="G21" s="10">
        <f>IFERROR(B21/(B21+B23),"")</f>
        <v/>
      </c>
      <c r="H21" s="6" t="n"/>
    </row>
    <row r="22">
      <c r="A22" s="6" t="inlineStr">
        <is>
          <t>Dificultad × Incentivo</t>
        </is>
      </c>
      <c r="B22" s="10">
        <f>IFERROR((B16*(E16-E18)^2+B17*(E17-E18)^2)/2,"")</f>
        <v/>
      </c>
      <c r="C22" s="6" t="n">
        <v>1</v>
      </c>
      <c r="D22" s="10">
        <f>IFERROR(B22/C22,"")</f>
        <v/>
      </c>
      <c r="E22" s="10">
        <f>IFERROR(D22/D23,"")</f>
        <v/>
      </c>
      <c r="F22" s="10">
        <f>IFERROR(FDIST(E22,C22,C23),"")</f>
        <v/>
      </c>
      <c r="G22" s="10">
        <f>IFERROR(B22/(B22+B23),"")</f>
        <v/>
      </c>
      <c r="H22" s="6" t="n"/>
    </row>
    <row r="23">
      <c r="A23" s="6" t="inlineStr">
        <is>
          <t>Residuo intra</t>
        </is>
      </c>
      <c r="B23" s="10">
        <f>IFERROR((F16+F17)/2,"")</f>
        <v/>
      </c>
      <c r="C23" s="6">
        <f>IFERROR((B16+B17-2),"")</f>
        <v/>
      </c>
      <c r="D23" s="10">
        <f>IFERROR(B23/C23,"")</f>
        <v/>
      </c>
      <c r="E23" s="10" t="n"/>
      <c r="F23" s="10" t="n"/>
      <c r="G23" s="10" t="n"/>
      <c r="H23" s="6" t="n"/>
    </row>
    <row r="24">
      <c r="A24" s="6" t="inlineStr">
        <is>
          <t>Incentivo (entre)</t>
        </is>
      </c>
      <c r="B24" s="10">
        <f>IFERROR(2*(B16*(C16-C18)^2+B17*(C17-C18)^2),"")</f>
        <v/>
      </c>
      <c r="C24" s="6" t="n">
        <v>1</v>
      </c>
      <c r="D24" s="10">
        <f>IFERROR(B24/C24,"")</f>
        <v/>
      </c>
      <c r="E24" s="10">
        <f>IFERROR(D24/D25,"")</f>
        <v/>
      </c>
      <c r="F24" s="10">
        <f>IFERROR(FDIST(E24,C24,C25),"")</f>
        <v/>
      </c>
      <c r="G24" s="10">
        <f>IFERROR(B24/(B24+B25),"")</f>
        <v/>
      </c>
      <c r="H24" s="6" t="n"/>
    </row>
    <row r="25">
      <c r="A25" s="6" t="inlineStr">
        <is>
          <t>Residuo entre</t>
        </is>
      </c>
      <c r="B25" s="10">
        <f>IFERROR(2*(D16+D17),"")</f>
        <v/>
      </c>
      <c r="C25" s="6">
        <f>IFERROR((B16+B17-2),"")</f>
        <v/>
      </c>
      <c r="D25" s="10">
        <f>IFERROR(B25/C25,"")</f>
        <v/>
      </c>
      <c r="E25" s="10" t="n"/>
      <c r="F25" s="10" t="n"/>
      <c r="G25" s="10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5" t="inlineStr">
        <is>
          <t>Comprobación de la manipulación</t>
        </is>
      </c>
      <c r="B27" s="5" t="inlineStr">
        <is>
          <t>Incentivo</t>
        </is>
      </c>
      <c r="C27" s="5" t="inlineStr">
        <is>
          <t>Control</t>
        </is>
      </c>
      <c r="D27" s="6" t="n"/>
      <c r="E27" s="6" t="n"/>
      <c r="F27" s="6" t="n"/>
      <c r="G27" s="6" t="n"/>
      <c r="H27" s="6" t="n"/>
    </row>
    <row r="28">
      <c r="A28" s="6" t="inlineStr">
        <is>
          <t>Esfuerzo (1-5)</t>
        </is>
      </c>
      <c r="B28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O$2:$AO$3000&lt;&gt;""),Respuestas!$AO$2:$AO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O$2:$AO$3000&lt;&gt;"")),"")</f>
        <v/>
      </c>
      <c r="C28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O$2:$AO$3000&lt;&gt;""),Respuestas!$AO$2:$AO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O$2:$AO$3000&lt;&gt;"")),"")</f>
        <v/>
      </c>
      <c r="D28" s="6" t="n"/>
      <c r="E28" s="6" t="n"/>
      <c r="F28" s="6" t="n"/>
      <c r="G28" s="6" t="n"/>
      <c r="H28" s="6" t="n"/>
    </row>
    <row r="29">
      <c r="A29" s="6" t="inlineStr">
        <is>
          <t>Interés (1-5)</t>
        </is>
      </c>
      <c r="B29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P$2:$AP$3000&lt;&gt;""),Respuestas!$AP$2:$AP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P$2:$AP$3000&lt;&gt;"")),"")</f>
        <v/>
      </c>
      <c r="C29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P$2:$AP$3000&lt;&gt;""),Respuestas!$AP$2:$AP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P$2:$AP$3000&lt;&gt;"")),"")</f>
        <v/>
      </c>
      <c r="D29" s="6" t="n"/>
      <c r="E29" s="6" t="n"/>
      <c r="F29" s="6" t="n"/>
      <c r="G29" s="6" t="n"/>
      <c r="H29" s="6" t="n"/>
    </row>
    <row r="30">
      <c r="A30" s="6" t="inlineStr">
        <is>
          <t>Importancia (1-5)</t>
        </is>
      </c>
      <c r="B30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Q$2:$AQ$3000&lt;&gt;""),Respuestas!$AQ$2:$AQ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Q$2:$AQ$3000&lt;&gt;"")),"")</f>
        <v/>
      </c>
      <c r="C30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Q$2:$AQ$3000&lt;&gt;""),Respuestas!$AQ$2:$AQ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Q$2:$AQ$3000&lt;&gt;"")),"")</f>
        <v/>
      </c>
      <c r="D30" s="6" t="n"/>
      <c r="E30" s="6" t="n"/>
      <c r="F30" s="6" t="n"/>
      <c r="G30" s="6" t="n"/>
      <c r="H30" s="6" t="n"/>
    </row>
    <row r="31">
      <c r="A31" s="6" t="inlineStr">
        <is>
          <t>Motivación (media)</t>
        </is>
      </c>
      <c r="B31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X$2:$AX$3000&lt;&gt;""),Respuestas!$AX$2:$AX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X$2:$AX$3000&lt;&gt;"")),"")</f>
        <v/>
      </c>
      <c r="C31" s="7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X$2:$AX$3000&lt;&gt;""),Respuestas!$AX$2:$AX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X$2:$AX$3000&lt;&gt;"")),"")</f>
        <v/>
      </c>
      <c r="D31" s="6" t="n"/>
      <c r="E31" s="6" t="n"/>
      <c r="F31" s="6" t="n"/>
      <c r="G31" s="6" t="n"/>
      <c r="H31" s="6" t="n"/>
    </row>
    <row r="32">
      <c r="A32" s="6" t="inlineStr">
        <is>
          <t>Dice que se le ofreció premio (%)</t>
        </is>
      </c>
      <c r="B32" s="8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R$2:$AR$3000="Sí")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),"")</f>
        <v/>
      </c>
      <c r="C32" s="8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R$2:$AR$3000="Sí")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),"")</f>
        <v/>
      </c>
      <c r="D32" s="6" t="n"/>
      <c r="E32" s="6" t="n"/>
      <c r="F32" s="6" t="n"/>
      <c r="G32" s="6" t="n"/>
      <c r="H32" s="6" t="n"/>
    </row>
    <row r="34" ht="30" customHeight="1">
      <c r="A34" s="4" t="inlineStr">
        <is>
          <t>Las fórmulas toleran grupos de distinto tamaño (SC de tipo III). Los resultados deben coincidir con los de la web y con JASP (ANOVA de medidas repetidas: factor intra «Dificultad» con 2 niveles; factor entre «Incentivo»).</t>
        </is>
      </c>
    </row>
  </sheetData>
  <mergeCells count="2">
    <mergeCell ref="A34:H34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2" customWidth="1" min="4" max="4"/>
    <col width="13" customWidth="1" min="5" max="5"/>
    <col width="9" customWidth="1" min="6" max="6"/>
    <col width="13" customWidth="1" min="7" max="7"/>
    <col width="14" customWidth="1" min="8" max="8"/>
    <col width="19" customWidth="1" min="9" max="9"/>
    <col width="21" customWidth="1" min="10" max="10"/>
    <col width="15" customWidth="1" min="11" max="11"/>
    <col width="12" customWidth="1" min="12" max="12"/>
    <col width="11" customWidth="1" min="13" max="13"/>
    <col width="13" customWidth="1" min="14" max="14"/>
    <col width="9" customWidth="1" min="15" max="15"/>
    <col width="11" customWidth="1" min="16" max="16"/>
    <col width="18" customWidth="1" min="17" max="17"/>
    <col width="17" customWidth="1" min="18" max="18"/>
    <col width="14" customWidth="1" min="19" max="19"/>
    <col width="20" customWidth="1" min="20" max="20"/>
    <col width="17" customWidth="1" min="21" max="21"/>
    <col width="10" customWidth="1" min="22" max="22"/>
    <col width="19" customWidth="1" min="23" max="23"/>
    <col width="19" customWidth="1" min="24" max="24"/>
    <col width="12" customWidth="1" min="25" max="25"/>
    <col width="21" customWidth="1" min="26" max="26"/>
    <col width="17" customWidth="1" min="27" max="27"/>
    <col width="10" customWidth="1" min="28" max="28"/>
    <col width="9" customWidth="1" min="29" max="29"/>
    <col width="12" customWidth="1" min="30" max="30"/>
    <col width="19" customWidth="1" min="31" max="31"/>
    <col width="12" customWidth="1" min="32" max="32"/>
    <col width="13" customWidth="1" min="33" max="33"/>
    <col width="19" customWidth="1" min="34" max="34"/>
    <col width="13" customWidth="1" min="35" max="35"/>
    <col width="18" customWidth="1" min="36" max="36"/>
    <col width="9" customWidth="1" min="37" max="37"/>
    <col width="16" customWidth="1" min="38" max="38"/>
    <col width="9" customWidth="1" min="39" max="39"/>
    <col width="16" customWidth="1" min="40" max="40"/>
    <col width="15" customWidth="1" min="41" max="41"/>
    <col width="14" customWidth="1" min="42" max="42"/>
    <col width="18" customWidth="1" min="43" max="43"/>
    <col width="18" customWidth="1" min="44" max="44"/>
    <col width="9" customWidth="1" min="45" max="45"/>
    <col width="9" customWidth="1" min="46" max="46"/>
    <col width="13" customWidth="1" min="47" max="47"/>
    <col width="15" customWidth="1" min="48" max="48"/>
    <col width="14" customWidth="1" min="49" max="49"/>
    <col width="13" customWidth="1" min="50" max="50"/>
    <col width="11" customWidth="1" min="51" max="51"/>
    <col width="9" customWidth="1" min="52" max="52"/>
    <col width="9" customWidth="1" min="53" max="53"/>
    <col width="10" customWidth="1" min="54" max="54"/>
    <col width="11" customWidth="1" min="55" max="55"/>
    <col width="9" customWidth="1" min="56" max="56"/>
    <col width="9" customWidth="1" min="57" max="57"/>
    <col width="10" customWidth="1" min="58" max="58"/>
    <col width="11" customWidth="1" min="59" max="59"/>
    <col width="9" customWidth="1" min="60" max="60"/>
    <col width="9" customWidth="1" min="61" max="61"/>
    <col width="10" customWidth="1" min="62" max="62"/>
    <col width="11" customWidth="1" min="63" max="63"/>
    <col width="9" customWidth="1" min="64" max="64"/>
    <col width="9" customWidth="1" min="65" max="65"/>
    <col width="10" customWidth="1" min="66" max="66"/>
    <col width="11" customWidth="1" min="67" max="67"/>
    <col width="9" customWidth="1" min="68" max="68"/>
    <col width="9" customWidth="1" min="69" max="69"/>
    <col width="10" customWidth="1" min="70" max="70"/>
    <col width="11" customWidth="1" min="71" max="71"/>
    <col width="9" customWidth="1" min="72" max="72"/>
    <col width="9" customWidth="1" min="73" max="73"/>
    <col width="10" customWidth="1" min="74" max="74"/>
    <col width="11" customWidth="1" min="75" max="75"/>
    <col width="9" customWidth="1" min="76" max="76"/>
    <col width="9" customWidth="1" min="77" max="77"/>
    <col width="10" customWidth="1" min="78" max="78"/>
    <col width="11" customWidth="1" min="79" max="79"/>
    <col width="9" customWidth="1" min="80" max="80"/>
    <col width="9" customWidth="1" min="81" max="81"/>
    <col width="10" customWidth="1" min="82" max="82"/>
    <col width="11" customWidth="1" min="83" max="83"/>
    <col width="9" customWidth="1" min="84" max="84"/>
    <col width="9" customWidth="1" min="85" max="85"/>
    <col width="10" customWidth="1" min="86" max="86"/>
    <col width="11" customWidth="1" min="87" max="87"/>
    <col width="9" customWidth="1" min="88" max="88"/>
    <col width="9" customWidth="1" min="89" max="89"/>
    <col width="10" customWidth="1" min="90" max="90"/>
    <col width="11" customWidth="1" min="91" max="91"/>
    <col width="9" customWidth="1" min="92" max="92"/>
    <col width="9" customWidth="1" min="93" max="93"/>
    <col width="10" customWidth="1" min="94" max="94"/>
    <col width="11" customWidth="1" min="95" max="95"/>
    <col width="9" customWidth="1" min="96" max="96"/>
    <col width="9" customWidth="1" min="97" max="97"/>
    <col width="10" customWidth="1" min="98" max="98"/>
    <col width="11" customWidth="1" min="99" max="99"/>
    <col width="9" customWidth="1" min="100" max="100"/>
    <col width="9" customWidth="1" min="101" max="101"/>
    <col width="10" customWidth="1" min="102" max="102"/>
    <col width="11" customWidth="1" min="103" max="103"/>
    <col width="9" customWidth="1" min="104" max="104"/>
    <col width="9" customWidth="1" min="105" max="105"/>
    <col width="10" customWidth="1" min="106" max="106"/>
    <col width="11" customWidth="1" min="107" max="107"/>
    <col width="9" customWidth="1" min="108" max="108"/>
    <col width="9" customWidth="1" min="109" max="109"/>
    <col width="10" customWidth="1" min="110" max="110"/>
    <col width="11" customWidth="1" min="111" max="111"/>
    <col width="9" customWidth="1" min="112" max="112"/>
    <col width="9" customWidth="1" min="113" max="113"/>
    <col width="10" customWidth="1" min="114" max="114"/>
    <col width="11" customWidth="1" min="115" max="115"/>
    <col width="9" customWidth="1" min="116" max="116"/>
    <col width="9" customWidth="1" min="117" max="117"/>
    <col width="10" customWidth="1" min="118" max="118"/>
    <col width="11" customWidth="1" min="119" max="119"/>
    <col width="9" customWidth="1" min="120" max="120"/>
    <col width="9" customWidth="1" min="121" max="121"/>
    <col width="10" customWidth="1" min="122" max="122"/>
    <col width="11" customWidth="1" min="123" max="123"/>
    <col width="9" customWidth="1" min="124" max="124"/>
    <col width="9" customWidth="1" min="125" max="125"/>
    <col width="10" customWidth="1" min="126" max="126"/>
    <col width="11" customWidth="1" min="127" max="127"/>
    <col width="9" customWidth="1" min="128" max="128"/>
    <col width="9" customWidth="1" min="129" max="129"/>
    <col width="10" customWidth="1" min="130" max="130"/>
  </cols>
  <sheetData>
    <row r="1">
      <c r="A1" s="5" t="inlineStr">
        <is>
          <t>id</t>
        </is>
      </c>
      <c r="B1" s="5" t="inlineStr">
        <is>
          <t>cohorte</t>
        </is>
      </c>
      <c r="C1" s="5" t="inlineStr">
        <is>
          <t>modo</t>
        </is>
      </c>
      <c r="D1" s="5" t="inlineStr">
        <is>
          <t>condicion</t>
        </is>
      </c>
      <c r="E1" s="5" t="inlineStr">
        <is>
          <t>asignacion</t>
        </is>
      </c>
      <c r="F1" s="5" t="inlineStr">
        <is>
          <t>bloque</t>
        </is>
      </c>
      <c r="G1" s="5" t="inlineStr">
        <is>
          <t>reclutador</t>
        </is>
      </c>
      <c r="H1" s="5" t="inlineStr">
        <is>
          <t>dispositivo</t>
        </is>
      </c>
      <c r="I1" s="5" t="inlineStr">
        <is>
          <t>n_en_dispositivo</t>
        </is>
      </c>
      <c r="J1" s="5" t="inlineStr">
        <is>
          <t>seg_desde_anterior</t>
        </is>
      </c>
      <c r="K1" s="5" t="inlineStr">
        <is>
          <t>fecha_inicio</t>
        </is>
      </c>
      <c r="L1" s="5" t="inlineStr">
        <is>
          <t>fecha_fin</t>
        </is>
      </c>
      <c r="M1" s="5" t="inlineStr">
        <is>
          <t>recibido</t>
        </is>
      </c>
      <c r="N1" s="5" t="inlineStr">
        <is>
          <t>duracion_s</t>
        </is>
      </c>
      <c r="O1" s="5" t="inlineStr">
        <is>
          <t>movil</t>
        </is>
      </c>
      <c r="P1" s="5" t="inlineStr">
        <is>
          <t>pantalla</t>
        </is>
      </c>
      <c r="Q1" s="5" t="inlineStr">
        <is>
          <t>cambios_pestana</t>
        </is>
      </c>
      <c r="R1" s="5" t="inlineStr">
        <is>
          <t>avisos_rapidez</t>
        </is>
      </c>
      <c r="S1" s="5" t="inlineStr">
        <is>
          <t>orden_items</t>
        </is>
      </c>
      <c r="T1" s="5" t="inlineStr">
        <is>
          <t>practica_aciertos</t>
        </is>
      </c>
      <c r="U1" s="5" t="inlineStr">
        <is>
          <t>aciertos_facil</t>
        </is>
      </c>
      <c r="V1" s="5" t="inlineStr">
        <is>
          <t>n_facil</t>
        </is>
      </c>
      <c r="W1" s="5" t="inlineStr">
        <is>
          <t>tr_mediana_facil</t>
        </is>
      </c>
      <c r="X1" s="5" t="inlineStr">
        <is>
          <t>aciertos_dificil</t>
        </is>
      </c>
      <c r="Y1" s="5" t="inlineStr">
        <is>
          <t>n_dificil</t>
        </is>
      </c>
      <c r="Z1" s="5" t="inlineStr">
        <is>
          <t>tr_mediana_dificil</t>
        </is>
      </c>
      <c r="AA1" s="5" t="inlineStr">
        <is>
          <t>aciertos_total</t>
        </is>
      </c>
      <c r="AB1" s="5" t="inlineStr">
        <is>
          <t>n_items</t>
        </is>
      </c>
      <c r="AC1" s="5" t="inlineStr">
        <is>
          <t>n_nose</t>
        </is>
      </c>
      <c r="AD1" s="5" t="inlineStr">
        <is>
          <t>n_ninguna</t>
        </is>
      </c>
      <c r="AE1" s="5" t="inlineStr">
        <is>
          <t>n_tiempo_agotado</t>
        </is>
      </c>
      <c r="AF1" s="5" t="inlineStr">
        <is>
          <t>n_rapidas</t>
        </is>
      </c>
      <c r="AG1" s="5" t="inlineStr">
        <is>
          <t>tr_mediana</t>
        </is>
      </c>
      <c r="AH1" s="5" t="inlineStr">
        <is>
          <t>max_misma_opcion</t>
        </is>
      </c>
      <c r="AI1" s="5" t="inlineStr">
        <is>
          <t>sospechoso</t>
        </is>
      </c>
      <c r="AJ1" s="5" t="inlineStr">
        <is>
          <t>motivo_sospecha</t>
        </is>
      </c>
      <c r="AK1" s="5" t="inlineStr">
        <is>
          <t>umbral</t>
        </is>
      </c>
      <c r="AL1" s="5" t="inlineStr">
        <is>
          <t>supera_umbral</t>
        </is>
      </c>
      <c r="AM1" s="5" t="inlineStr">
        <is>
          <t>premio</t>
        </is>
      </c>
      <c r="AN1" s="5" t="inlineStr">
        <is>
          <t>codigo_premio</t>
        </is>
      </c>
      <c r="AO1" s="5" t="inlineStr">
        <is>
          <t>mot_esfuerzo</t>
        </is>
      </c>
      <c r="AP1" s="5" t="inlineStr">
        <is>
          <t>mot_interes</t>
        </is>
      </c>
      <c r="AQ1" s="5" t="inlineStr">
        <is>
          <t>mot_importancia</t>
        </is>
      </c>
      <c r="AR1" s="5" t="inlineStr">
        <is>
          <t>recuerda_premio</t>
        </is>
      </c>
      <c r="AS1" s="5" t="inlineStr">
        <is>
          <t>sexo</t>
        </is>
      </c>
      <c r="AT1" s="5" t="inlineStr">
        <is>
          <t>edad</t>
        </is>
      </c>
      <c r="AU1" s="5" t="inlineStr">
        <is>
          <t>psicologia</t>
        </is>
      </c>
      <c r="AV1" s="5" t="inlineStr">
        <is>
          <t>ya_participo</t>
        </is>
      </c>
      <c r="AW1" s="5" t="inlineStr">
        <is>
          <t>condiciones</t>
        </is>
      </c>
      <c r="AX1" s="5" t="inlineStr">
        <is>
          <t>motivacion</t>
        </is>
      </c>
      <c r="AY1" s="5" t="inlineStr">
        <is>
          <t>F11_resp</t>
        </is>
      </c>
      <c r="AZ1" s="5" t="inlineStr">
        <is>
          <t>F11_ok</t>
        </is>
      </c>
      <c r="BA1" s="5" t="inlineStr">
        <is>
          <t>F11_tr</t>
        </is>
      </c>
      <c r="BB1" s="5" t="inlineStr">
        <is>
          <t>F11_pos</t>
        </is>
      </c>
      <c r="BC1" s="5" t="inlineStr">
        <is>
          <t>F12_resp</t>
        </is>
      </c>
      <c r="BD1" s="5" t="inlineStr">
        <is>
          <t>F12_ok</t>
        </is>
      </c>
      <c r="BE1" s="5" t="inlineStr">
        <is>
          <t>F12_tr</t>
        </is>
      </c>
      <c r="BF1" s="5" t="inlineStr">
        <is>
          <t>F12_pos</t>
        </is>
      </c>
      <c r="BG1" s="5" t="inlineStr">
        <is>
          <t>F13_resp</t>
        </is>
      </c>
      <c r="BH1" s="5" t="inlineStr">
        <is>
          <t>F13_ok</t>
        </is>
      </c>
      <c r="BI1" s="5" t="inlineStr">
        <is>
          <t>F13_tr</t>
        </is>
      </c>
      <c r="BJ1" s="5" t="inlineStr">
        <is>
          <t>F13_pos</t>
        </is>
      </c>
      <c r="BK1" s="5" t="inlineStr">
        <is>
          <t>F14_resp</t>
        </is>
      </c>
      <c r="BL1" s="5" t="inlineStr">
        <is>
          <t>F14_ok</t>
        </is>
      </c>
      <c r="BM1" s="5" t="inlineStr">
        <is>
          <t>F14_tr</t>
        </is>
      </c>
      <c r="BN1" s="5" t="inlineStr">
        <is>
          <t>F14_pos</t>
        </is>
      </c>
      <c r="BO1" s="5" t="inlineStr">
        <is>
          <t>F15_resp</t>
        </is>
      </c>
      <c r="BP1" s="5" t="inlineStr">
        <is>
          <t>F15_ok</t>
        </is>
      </c>
      <c r="BQ1" s="5" t="inlineStr">
        <is>
          <t>F15_tr</t>
        </is>
      </c>
      <c r="BR1" s="5" t="inlineStr">
        <is>
          <t>F15_pos</t>
        </is>
      </c>
      <c r="BS1" s="5" t="inlineStr">
        <is>
          <t>F16_resp</t>
        </is>
      </c>
      <c r="BT1" s="5" t="inlineStr">
        <is>
          <t>F16_ok</t>
        </is>
      </c>
      <c r="BU1" s="5" t="inlineStr">
        <is>
          <t>F16_tr</t>
        </is>
      </c>
      <c r="BV1" s="5" t="inlineStr">
        <is>
          <t>F16_pos</t>
        </is>
      </c>
      <c r="BW1" s="5" t="inlineStr">
        <is>
          <t>F17_resp</t>
        </is>
      </c>
      <c r="BX1" s="5" t="inlineStr">
        <is>
          <t>F17_ok</t>
        </is>
      </c>
      <c r="BY1" s="5" t="inlineStr">
        <is>
          <t>F17_tr</t>
        </is>
      </c>
      <c r="BZ1" s="5" t="inlineStr">
        <is>
          <t>F17_pos</t>
        </is>
      </c>
      <c r="CA1" s="5" t="inlineStr">
        <is>
          <t>F18_resp</t>
        </is>
      </c>
      <c r="CB1" s="5" t="inlineStr">
        <is>
          <t>F18_ok</t>
        </is>
      </c>
      <c r="CC1" s="5" t="inlineStr">
        <is>
          <t>F18_tr</t>
        </is>
      </c>
      <c r="CD1" s="5" t="inlineStr">
        <is>
          <t>F18_pos</t>
        </is>
      </c>
      <c r="CE1" s="5" t="inlineStr">
        <is>
          <t>F19_resp</t>
        </is>
      </c>
      <c r="CF1" s="5" t="inlineStr">
        <is>
          <t>F19_ok</t>
        </is>
      </c>
      <c r="CG1" s="5" t="inlineStr">
        <is>
          <t>F19_tr</t>
        </is>
      </c>
      <c r="CH1" s="5" t="inlineStr">
        <is>
          <t>F19_pos</t>
        </is>
      </c>
      <c r="CI1" s="5" t="inlineStr">
        <is>
          <t>F20_resp</t>
        </is>
      </c>
      <c r="CJ1" s="5" t="inlineStr">
        <is>
          <t>F20_ok</t>
        </is>
      </c>
      <c r="CK1" s="5" t="inlineStr">
        <is>
          <t>F20_tr</t>
        </is>
      </c>
      <c r="CL1" s="5" t="inlineStr">
        <is>
          <t>F20_pos</t>
        </is>
      </c>
      <c r="CM1" s="5" t="inlineStr">
        <is>
          <t>D11_resp</t>
        </is>
      </c>
      <c r="CN1" s="5" t="inlineStr">
        <is>
          <t>D11_ok</t>
        </is>
      </c>
      <c r="CO1" s="5" t="inlineStr">
        <is>
          <t>D11_tr</t>
        </is>
      </c>
      <c r="CP1" s="5" t="inlineStr">
        <is>
          <t>D11_pos</t>
        </is>
      </c>
      <c r="CQ1" s="5" t="inlineStr">
        <is>
          <t>D12_resp</t>
        </is>
      </c>
      <c r="CR1" s="5" t="inlineStr">
        <is>
          <t>D12_ok</t>
        </is>
      </c>
      <c r="CS1" s="5" t="inlineStr">
        <is>
          <t>D12_tr</t>
        </is>
      </c>
      <c r="CT1" s="5" t="inlineStr">
        <is>
          <t>D12_pos</t>
        </is>
      </c>
      <c r="CU1" s="5" t="inlineStr">
        <is>
          <t>D13_resp</t>
        </is>
      </c>
      <c r="CV1" s="5" t="inlineStr">
        <is>
          <t>D13_ok</t>
        </is>
      </c>
      <c r="CW1" s="5" t="inlineStr">
        <is>
          <t>D13_tr</t>
        </is>
      </c>
      <c r="CX1" s="5" t="inlineStr">
        <is>
          <t>D13_pos</t>
        </is>
      </c>
      <c r="CY1" s="5" t="inlineStr">
        <is>
          <t>D14_resp</t>
        </is>
      </c>
      <c r="CZ1" s="5" t="inlineStr">
        <is>
          <t>D14_ok</t>
        </is>
      </c>
      <c r="DA1" s="5" t="inlineStr">
        <is>
          <t>D14_tr</t>
        </is>
      </c>
      <c r="DB1" s="5" t="inlineStr">
        <is>
          <t>D14_pos</t>
        </is>
      </c>
      <c r="DC1" s="5" t="inlineStr">
        <is>
          <t>D15_resp</t>
        </is>
      </c>
      <c r="DD1" s="5" t="inlineStr">
        <is>
          <t>D15_ok</t>
        </is>
      </c>
      <c r="DE1" s="5" t="inlineStr">
        <is>
          <t>D15_tr</t>
        </is>
      </c>
      <c r="DF1" s="5" t="inlineStr">
        <is>
          <t>D15_pos</t>
        </is>
      </c>
      <c r="DG1" s="5" t="inlineStr">
        <is>
          <t>D16_resp</t>
        </is>
      </c>
      <c r="DH1" s="5" t="inlineStr">
        <is>
          <t>D16_ok</t>
        </is>
      </c>
      <c r="DI1" s="5" t="inlineStr">
        <is>
          <t>D16_tr</t>
        </is>
      </c>
      <c r="DJ1" s="5" t="inlineStr">
        <is>
          <t>D16_pos</t>
        </is>
      </c>
      <c r="DK1" s="5" t="inlineStr">
        <is>
          <t>D17_resp</t>
        </is>
      </c>
      <c r="DL1" s="5" t="inlineStr">
        <is>
          <t>D17_ok</t>
        </is>
      </c>
      <c r="DM1" s="5" t="inlineStr">
        <is>
          <t>D17_tr</t>
        </is>
      </c>
      <c r="DN1" s="5" t="inlineStr">
        <is>
          <t>D17_pos</t>
        </is>
      </c>
      <c r="DO1" s="5" t="inlineStr">
        <is>
          <t>D18_resp</t>
        </is>
      </c>
      <c r="DP1" s="5" t="inlineStr">
        <is>
          <t>D18_ok</t>
        </is>
      </c>
      <c r="DQ1" s="5" t="inlineStr">
        <is>
          <t>D18_tr</t>
        </is>
      </c>
      <c r="DR1" s="5" t="inlineStr">
        <is>
          <t>D18_pos</t>
        </is>
      </c>
      <c r="DS1" s="5" t="inlineStr">
        <is>
          <t>D19_resp</t>
        </is>
      </c>
      <c r="DT1" s="5" t="inlineStr">
        <is>
          <t>D19_ok</t>
        </is>
      </c>
      <c r="DU1" s="5" t="inlineStr">
        <is>
          <t>D19_tr</t>
        </is>
      </c>
      <c r="DV1" s="5" t="inlineStr">
        <is>
          <t>D19_pos</t>
        </is>
      </c>
      <c r="DW1" s="5" t="inlineStr">
        <is>
          <t>D20_resp</t>
        </is>
      </c>
      <c r="DX1" s="5" t="inlineStr">
        <is>
          <t>D20_ok</t>
        </is>
      </c>
      <c r="DY1" s="5" t="inlineStr">
        <is>
          <t>D20_tr</t>
        </is>
      </c>
      <c r="DZ1" s="5" t="inlineStr">
        <is>
          <t>D20_pos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2" customWidth="1" min="4" max="4"/>
    <col width="9" customWidth="1" min="5" max="5"/>
    <col width="16" customWidth="1" min="6" max="6"/>
  </cols>
  <sheetData>
    <row r="1">
      <c r="A1" s="5" t="inlineStr">
        <is>
          <t>fecha</t>
        </is>
      </c>
      <c r="B1" s="5" t="inlineStr">
        <is>
          <t>cohorte</t>
        </is>
      </c>
      <c r="C1" s="5" t="inlineStr">
        <is>
          <t>id</t>
        </is>
      </c>
      <c r="D1" s="5" t="inlineStr">
        <is>
          <t>condicion</t>
        </is>
      </c>
      <c r="E1" s="5" t="inlineStr">
        <is>
          <t>bloque</t>
        </is>
      </c>
      <c r="F1" s="5" t="inlineStr">
        <is>
          <t>quedan_en_bloque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4" customHeight="1">
      <c r="A1" s="5" t="inlineStr">
        <is>
          <t>Ítem</t>
        </is>
      </c>
      <c r="B1" s="5" t="inlineStr">
        <is>
          <t>Dificultad</t>
        </is>
      </c>
      <c r="C1" s="5" t="inlineStr">
        <is>
          <t>En el experimento</t>
        </is>
      </c>
      <c r="D1" s="5" t="inlineStr">
        <is>
          <t>Rotación de la figura principal</t>
        </is>
      </c>
      <c r="E1" s="5" t="inlineStr">
        <is>
          <t>Sustracción de líneas</t>
        </is>
      </c>
      <c r="F1" s="5" t="inlineStr">
        <is>
          <t>Rotación del trapecio</t>
        </is>
      </c>
      <c r="G1" s="5" t="inlineStr">
        <is>
          <t>Movimiento del punto</t>
        </is>
      </c>
      <c r="H1" s="5" t="inlineStr">
        <is>
          <t>Reflejo</t>
        </is>
      </c>
      <c r="I1" s="5" t="inlineStr">
        <is>
          <t>Nº reglas</t>
        </is>
      </c>
      <c r="J1" s="5" t="inlineStr">
        <is>
          <t>Clave</t>
        </is>
      </c>
      <c r="K1" s="5" t="inlineStr">
        <is>
          <t>N</t>
        </is>
      </c>
      <c r="L1" s="5" t="inlineStr">
        <is>
          <t>p (aciertos)</t>
        </is>
      </c>
      <c r="M1" s="5" t="inlineStr">
        <is>
          <t>p incentivo</t>
        </is>
      </c>
      <c r="N1" s="5" t="inlineStr">
        <is>
          <t>p control</t>
        </is>
      </c>
    </row>
    <row r="2">
      <c r="A2" s="6" t="inlineStr">
        <is>
          <t>P3</t>
        </is>
      </c>
      <c r="B2" s="6" t="inlineStr">
        <is>
          <t>Práctica</t>
        </is>
      </c>
      <c r="C2" s="6" t="inlineStr">
        <is>
          <t>Práctica</t>
        </is>
      </c>
      <c r="D2" s="11" t="n">
        <v>0</v>
      </c>
      <c r="E2" s="11" t="n">
        <v>0</v>
      </c>
      <c r="F2" s="11" t="n">
        <v>0</v>
      </c>
      <c r="G2" s="12" t="n">
        <v>1</v>
      </c>
      <c r="H2" s="11" t="n">
        <v>0</v>
      </c>
      <c r="I2" s="6" t="n">
        <v>1</v>
      </c>
      <c r="J2" s="6" t="n">
        <v>7</v>
      </c>
    </row>
    <row r="3">
      <c r="A3" s="6" t="inlineStr">
        <is>
          <t>P4</t>
        </is>
      </c>
      <c r="B3" s="6" t="inlineStr">
        <is>
          <t>Práctica</t>
        </is>
      </c>
      <c r="C3" s="6" t="inlineStr">
        <is>
          <t>Práctica</t>
        </is>
      </c>
      <c r="D3" s="11" t="n">
        <v>0</v>
      </c>
      <c r="E3" s="11" t="n">
        <v>0</v>
      </c>
      <c r="F3" s="11" t="n">
        <v>0</v>
      </c>
      <c r="G3" s="12" t="n">
        <v>1</v>
      </c>
      <c r="H3" s="11" t="n">
        <v>0</v>
      </c>
      <c r="I3" s="6" t="n">
        <v>1</v>
      </c>
      <c r="J3" s="6" t="n">
        <v>3</v>
      </c>
    </row>
    <row r="4">
      <c r="A4" s="6" t="inlineStr">
        <is>
          <t>F11</t>
        </is>
      </c>
      <c r="B4" s="6" t="inlineStr">
        <is>
          <t>Fácil</t>
        </is>
      </c>
      <c r="C4" s="6" t="inlineStr">
        <is>
          <t>Sí</t>
        </is>
      </c>
      <c r="D4" s="11" t="n">
        <v>0</v>
      </c>
      <c r="E4" s="11" t="n">
        <v>0</v>
      </c>
      <c r="F4" s="11" t="n">
        <v>0</v>
      </c>
      <c r="G4" s="12" t="n">
        <v>1</v>
      </c>
      <c r="H4" s="11" t="n">
        <v>0</v>
      </c>
      <c r="I4" s="6" t="n">
        <v>1</v>
      </c>
      <c r="J4" s="6" t="n">
        <v>6</v>
      </c>
      <c r="K4">
        <f>SUMPRODUCT((Respuestas!$U$2:$U$3000&lt;&gt;"")*(Respuestas!$X$2:$X$3000&lt;&gt;"")*(Respuestas!$AI$2:$AI$3000&lt;&gt;1)*(Respuestas!$AV$2:$AV$3000&lt;&gt;"Sí")*(Respuestas!$AW$2:$AW$3000&lt;&gt;"No")*(((Respuestas!$B$2:$B$3000=$B$4)+($B$4=""))&gt;0)*(Respuestas!$AZ$2:$AZ$3000&lt;&gt;""))</f>
        <v/>
      </c>
      <c r="L4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AZ$2:$AZ$3000&lt;&gt;""),Respuestas!$AZ$2:$AZ$3000)/K4,"")</f>
        <v/>
      </c>
      <c r="M4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Z$2:$AZ$3000&lt;&gt;""),Respuestas!$AZ$2:$AZ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AZ$2:$AZ$3000&lt;&gt;"")),"")</f>
        <v/>
      </c>
      <c r="N4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Z$2:$AZ$3000&lt;&gt;""),Respuestas!$AZ$2:$AZ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AZ$2:$AZ$3000&lt;&gt;"")),"")</f>
        <v/>
      </c>
    </row>
    <row r="5">
      <c r="A5" s="6" t="inlineStr">
        <is>
          <t>F12</t>
        </is>
      </c>
      <c r="B5" s="6" t="inlineStr">
        <is>
          <t>Fácil</t>
        </is>
      </c>
      <c r="C5" s="6" t="inlineStr">
        <is>
          <t>Sí</t>
        </is>
      </c>
      <c r="D5" s="11" t="n">
        <v>0</v>
      </c>
      <c r="E5" s="11" t="n">
        <v>0</v>
      </c>
      <c r="F5" s="11" t="n">
        <v>0</v>
      </c>
      <c r="G5" s="12" t="n">
        <v>1</v>
      </c>
      <c r="H5" s="11" t="n">
        <v>0</v>
      </c>
      <c r="I5" s="6" t="n">
        <v>1</v>
      </c>
      <c r="J5" s="6" t="n">
        <v>6</v>
      </c>
      <c r="K5">
        <f>SUMPRODUCT((Respuestas!$U$2:$U$3000&lt;&gt;"")*(Respuestas!$X$2:$X$3000&lt;&gt;"")*(Respuestas!$AI$2:$AI$3000&lt;&gt;1)*(Respuestas!$AV$2:$AV$3000&lt;&gt;"Sí")*(Respuestas!$AW$2:$AW$3000&lt;&gt;"No")*(((Respuestas!$B$2:$B$3000=$B$4)+($B$4=""))&gt;0)*(Respuestas!$BD$2:$BD$3000&lt;&gt;""))</f>
        <v/>
      </c>
      <c r="L5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BD$2:$BD$3000&lt;&gt;""),Respuestas!$BD$2:$BD$3000)/K5,"")</f>
        <v/>
      </c>
      <c r="M5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D$2:$BD$3000&lt;&gt;""),Respuestas!$BD$2:$BD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D$2:$BD$3000&lt;&gt;"")),"")</f>
        <v/>
      </c>
      <c r="N5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D$2:$BD$3000&lt;&gt;""),Respuestas!$BD$2:$BD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D$2:$BD$3000&lt;&gt;"")),"")</f>
        <v/>
      </c>
    </row>
    <row r="6">
      <c r="A6" s="6" t="inlineStr">
        <is>
          <t>F13</t>
        </is>
      </c>
      <c r="B6" s="6" t="inlineStr">
        <is>
          <t>Fácil</t>
        </is>
      </c>
      <c r="C6" s="6" t="inlineStr">
        <is>
          <t>No</t>
        </is>
      </c>
      <c r="D6" s="11" t="n">
        <v>0</v>
      </c>
      <c r="E6" s="11" t="n">
        <v>0</v>
      </c>
      <c r="F6" s="11" t="n">
        <v>0</v>
      </c>
      <c r="G6" s="12" t="n">
        <v>1</v>
      </c>
      <c r="H6" s="11" t="n">
        <v>0</v>
      </c>
      <c r="I6" s="6" t="n">
        <v>1</v>
      </c>
      <c r="J6" s="6" t="n">
        <v>4</v>
      </c>
      <c r="K6">
        <f>SUMPRODUCT((Respuestas!$U$2:$U$3000&lt;&gt;"")*(Respuestas!$X$2:$X$3000&lt;&gt;"")*(Respuestas!$AI$2:$AI$3000&lt;&gt;1)*(Respuestas!$AV$2:$AV$3000&lt;&gt;"Sí")*(Respuestas!$AW$2:$AW$3000&lt;&gt;"No")*(((Respuestas!$B$2:$B$3000=$B$4)+($B$4=""))&gt;0)*(Respuestas!$BH$2:$BH$3000&lt;&gt;""))</f>
        <v/>
      </c>
      <c r="L6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BH$2:$BH$3000&lt;&gt;""),Respuestas!$BH$2:$BH$3000)/K6,"")</f>
        <v/>
      </c>
      <c r="M6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H$2:$BH$3000&lt;&gt;""),Respuestas!$BH$2:$BH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H$2:$BH$3000&lt;&gt;"")),"")</f>
        <v/>
      </c>
      <c r="N6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H$2:$BH$3000&lt;&gt;""),Respuestas!$BH$2:$BH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H$2:$BH$3000&lt;&gt;"")),"")</f>
        <v/>
      </c>
    </row>
    <row r="7">
      <c r="A7" s="6" t="inlineStr">
        <is>
          <t>F14</t>
        </is>
      </c>
      <c r="B7" s="6" t="inlineStr">
        <is>
          <t>Fácil</t>
        </is>
      </c>
      <c r="C7" s="6" t="inlineStr">
        <is>
          <t>Sí</t>
        </is>
      </c>
      <c r="D7" s="11" t="n">
        <v>0</v>
      </c>
      <c r="E7" s="11" t="n">
        <v>0</v>
      </c>
      <c r="F7" s="12" t="n">
        <v>1</v>
      </c>
      <c r="G7" s="11" t="n">
        <v>0</v>
      </c>
      <c r="H7" s="11" t="n">
        <v>0</v>
      </c>
      <c r="I7" s="6" t="n">
        <v>1</v>
      </c>
      <c r="J7" s="6" t="n">
        <v>2</v>
      </c>
      <c r="K7">
        <f>SUMPRODUCT((Respuestas!$U$2:$U$3000&lt;&gt;"")*(Respuestas!$X$2:$X$3000&lt;&gt;"")*(Respuestas!$AI$2:$AI$3000&lt;&gt;1)*(Respuestas!$AV$2:$AV$3000&lt;&gt;"Sí")*(Respuestas!$AW$2:$AW$3000&lt;&gt;"No")*(((Respuestas!$B$2:$B$3000=$B$4)+($B$4=""))&gt;0)*(Respuestas!$BL$2:$BL$3000&lt;&gt;""))</f>
        <v/>
      </c>
      <c r="L7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BL$2:$BL$3000&lt;&gt;""),Respuestas!$BL$2:$BL$3000)/K7,"")</f>
        <v/>
      </c>
      <c r="M7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L$2:$BL$3000&lt;&gt;""),Respuestas!$BL$2:$BL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L$2:$BL$3000&lt;&gt;"")),"")</f>
        <v/>
      </c>
      <c r="N7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L$2:$BL$3000&lt;&gt;""),Respuestas!$BL$2:$BL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L$2:$BL$3000&lt;&gt;"")),"")</f>
        <v/>
      </c>
    </row>
    <row r="8">
      <c r="A8" s="6" t="inlineStr">
        <is>
          <t>F15</t>
        </is>
      </c>
      <c r="B8" s="6" t="inlineStr">
        <is>
          <t>Fácil</t>
        </is>
      </c>
      <c r="C8" s="6" t="inlineStr">
        <is>
          <t>Sí</t>
        </is>
      </c>
      <c r="D8" s="11" t="n">
        <v>0</v>
      </c>
      <c r="E8" s="11" t="n">
        <v>0</v>
      </c>
      <c r="F8" s="12" t="n">
        <v>1</v>
      </c>
      <c r="G8" s="11" t="n">
        <v>0</v>
      </c>
      <c r="H8" s="11" t="n">
        <v>0</v>
      </c>
      <c r="I8" s="6" t="n">
        <v>1</v>
      </c>
      <c r="J8" s="6" t="n">
        <v>8</v>
      </c>
      <c r="K8">
        <f>SUMPRODUCT((Respuestas!$U$2:$U$3000&lt;&gt;"")*(Respuestas!$X$2:$X$3000&lt;&gt;"")*(Respuestas!$AI$2:$AI$3000&lt;&gt;1)*(Respuestas!$AV$2:$AV$3000&lt;&gt;"Sí")*(Respuestas!$AW$2:$AW$3000&lt;&gt;"No")*(((Respuestas!$B$2:$B$3000=$B$4)+($B$4=""))&gt;0)*(Respuestas!$BP$2:$BP$3000&lt;&gt;""))</f>
        <v/>
      </c>
      <c r="L8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BP$2:$BP$3000&lt;&gt;""),Respuestas!$BP$2:$BP$3000)/K8,"")</f>
        <v/>
      </c>
      <c r="M8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P$2:$BP$3000&lt;&gt;""),Respuestas!$BP$2:$BP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P$2:$BP$3000&lt;&gt;"")),"")</f>
        <v/>
      </c>
      <c r="N8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P$2:$BP$3000&lt;&gt;""),Respuestas!$BP$2:$BP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P$2:$BP$3000&lt;&gt;"")),"")</f>
        <v/>
      </c>
    </row>
    <row r="9">
      <c r="A9" s="6" t="inlineStr">
        <is>
          <t>F16</t>
        </is>
      </c>
      <c r="B9" s="6" t="inlineStr">
        <is>
          <t>Fácil</t>
        </is>
      </c>
      <c r="C9" s="6" t="inlineStr">
        <is>
          <t>No</t>
        </is>
      </c>
      <c r="D9" s="11" t="n">
        <v>0</v>
      </c>
      <c r="E9" s="11" t="n">
        <v>0</v>
      </c>
      <c r="F9" s="12" t="n">
        <v>1</v>
      </c>
      <c r="G9" s="11" t="n">
        <v>0</v>
      </c>
      <c r="H9" s="11" t="n">
        <v>0</v>
      </c>
      <c r="I9" s="6" t="n">
        <v>1</v>
      </c>
      <c r="J9" s="6" t="n">
        <v>5</v>
      </c>
      <c r="K9">
        <f>SUMPRODUCT((Respuestas!$U$2:$U$3000&lt;&gt;"")*(Respuestas!$X$2:$X$3000&lt;&gt;"")*(Respuestas!$AI$2:$AI$3000&lt;&gt;1)*(Respuestas!$AV$2:$AV$3000&lt;&gt;"Sí")*(Respuestas!$AW$2:$AW$3000&lt;&gt;"No")*(((Respuestas!$B$2:$B$3000=$B$4)+($B$4=""))&gt;0)*(Respuestas!$BT$2:$BT$3000&lt;&gt;""))</f>
        <v/>
      </c>
      <c r="L9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BT$2:$BT$3000&lt;&gt;""),Respuestas!$BT$2:$BT$3000)/K9,"")</f>
        <v/>
      </c>
      <c r="M9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T$2:$BT$3000&lt;&gt;""),Respuestas!$BT$2:$BT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T$2:$BT$3000&lt;&gt;"")),"")</f>
        <v/>
      </c>
      <c r="N9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T$2:$BT$3000&lt;&gt;""),Respuestas!$BT$2:$BT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T$2:$BT$3000&lt;&gt;"")),"")</f>
        <v/>
      </c>
    </row>
    <row r="10">
      <c r="A10" s="6" t="inlineStr">
        <is>
          <t>F17</t>
        </is>
      </c>
      <c r="B10" s="6" t="inlineStr">
        <is>
          <t>Fácil</t>
        </is>
      </c>
      <c r="C10" s="6" t="inlineStr">
        <is>
          <t>Sí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2" t="n">
        <v>1</v>
      </c>
      <c r="I10" s="6" t="n">
        <v>1</v>
      </c>
      <c r="J10" s="6" t="n">
        <v>6</v>
      </c>
      <c r="K10">
        <f>SUMPRODUCT((Respuestas!$U$2:$U$3000&lt;&gt;"")*(Respuestas!$X$2:$X$3000&lt;&gt;"")*(Respuestas!$AI$2:$AI$3000&lt;&gt;1)*(Respuestas!$AV$2:$AV$3000&lt;&gt;"Sí")*(Respuestas!$AW$2:$AW$3000&lt;&gt;"No")*(((Respuestas!$B$2:$B$3000=$B$4)+($B$4=""))&gt;0)*(Respuestas!$BX$2:$BX$3000&lt;&gt;""))</f>
        <v/>
      </c>
      <c r="L10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BX$2:$BX$3000&lt;&gt;""),Respuestas!$BX$2:$BX$3000)/K10,"")</f>
        <v/>
      </c>
      <c r="M10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X$2:$BX$3000&lt;&gt;""),Respuestas!$BX$2:$BX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BX$2:$BX$3000&lt;&gt;"")),"")</f>
        <v/>
      </c>
      <c r="N10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X$2:$BX$3000&lt;&gt;""),Respuestas!$BX$2:$BX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BX$2:$BX$3000&lt;&gt;"")),"")</f>
        <v/>
      </c>
    </row>
    <row r="11">
      <c r="A11" s="6" t="inlineStr">
        <is>
          <t>F18</t>
        </is>
      </c>
      <c r="B11" s="6" t="inlineStr">
        <is>
          <t>Fácil</t>
        </is>
      </c>
      <c r="C11" s="6" t="inlineStr">
        <is>
          <t>Sí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2" t="n">
        <v>1</v>
      </c>
      <c r="I11" s="6" t="n">
        <v>1</v>
      </c>
      <c r="J11" s="6" t="n">
        <v>3</v>
      </c>
      <c r="K11">
        <f>SUMPRODUCT((Respuestas!$U$2:$U$3000&lt;&gt;"")*(Respuestas!$X$2:$X$3000&lt;&gt;"")*(Respuestas!$AI$2:$AI$3000&lt;&gt;1)*(Respuestas!$AV$2:$AV$3000&lt;&gt;"Sí")*(Respuestas!$AW$2:$AW$3000&lt;&gt;"No")*(((Respuestas!$B$2:$B$3000=$B$4)+($B$4=""))&gt;0)*(Respuestas!$CB$2:$CB$3000&lt;&gt;""))</f>
        <v/>
      </c>
      <c r="L11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CB$2:$CB$3000&lt;&gt;""),Respuestas!$CB$2:$CB$3000)/K11,"")</f>
        <v/>
      </c>
      <c r="M11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B$2:$CB$3000&lt;&gt;""),Respuestas!$CB$2:$CB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B$2:$CB$3000&lt;&gt;"")),"")</f>
        <v/>
      </c>
      <c r="N11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B$2:$CB$3000&lt;&gt;""),Respuestas!$CB$2:$CB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B$2:$CB$3000&lt;&gt;"")),"")</f>
        <v/>
      </c>
    </row>
    <row r="12">
      <c r="A12" s="6" t="inlineStr">
        <is>
          <t>F19</t>
        </is>
      </c>
      <c r="B12" s="6" t="inlineStr">
        <is>
          <t>Fácil</t>
        </is>
      </c>
      <c r="C12" s="6" t="inlineStr">
        <is>
          <t>No</t>
        </is>
      </c>
      <c r="D12" s="11" t="n">
        <v>0</v>
      </c>
      <c r="E12" s="11" t="n">
        <v>0</v>
      </c>
      <c r="F12" s="12" t="n">
        <v>1</v>
      </c>
      <c r="G12" s="11" t="n">
        <v>0</v>
      </c>
      <c r="H12" s="11" t="n">
        <v>0</v>
      </c>
      <c r="I12" s="6" t="n">
        <v>1</v>
      </c>
      <c r="J12" s="6" t="n">
        <v>7</v>
      </c>
      <c r="K12">
        <f>SUMPRODUCT((Respuestas!$U$2:$U$3000&lt;&gt;"")*(Respuestas!$X$2:$X$3000&lt;&gt;"")*(Respuestas!$AI$2:$AI$3000&lt;&gt;1)*(Respuestas!$AV$2:$AV$3000&lt;&gt;"Sí")*(Respuestas!$AW$2:$AW$3000&lt;&gt;"No")*(((Respuestas!$B$2:$B$3000=$B$4)+($B$4=""))&gt;0)*(Respuestas!$CF$2:$CF$3000&lt;&gt;""))</f>
        <v/>
      </c>
      <c r="L12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CF$2:$CF$3000&lt;&gt;""),Respuestas!$CF$2:$CF$3000)/K12,"")</f>
        <v/>
      </c>
      <c r="M12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F$2:$CF$3000&lt;&gt;""),Respuestas!$CF$2:$CF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F$2:$CF$3000&lt;&gt;"")),"")</f>
        <v/>
      </c>
      <c r="N12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F$2:$CF$3000&lt;&gt;""),Respuestas!$CF$2:$CF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F$2:$CF$3000&lt;&gt;"")),"")</f>
        <v/>
      </c>
    </row>
    <row r="13">
      <c r="A13" s="6" t="inlineStr">
        <is>
          <t>F20</t>
        </is>
      </c>
      <c r="B13" s="6" t="inlineStr">
        <is>
          <t>Fácil</t>
        </is>
      </c>
      <c r="C13" s="6" t="inlineStr">
        <is>
          <t>No</t>
        </is>
      </c>
      <c r="D13" s="11" t="n">
        <v>0</v>
      </c>
      <c r="E13" s="11" t="n">
        <v>0</v>
      </c>
      <c r="F13" s="12" t="n">
        <v>1</v>
      </c>
      <c r="G13" s="11" t="n">
        <v>0</v>
      </c>
      <c r="H13" s="11" t="n">
        <v>0</v>
      </c>
      <c r="I13" s="6" t="n">
        <v>1</v>
      </c>
      <c r="J13" s="6" t="n">
        <v>7</v>
      </c>
      <c r="K13">
        <f>SUMPRODUCT((Respuestas!$U$2:$U$3000&lt;&gt;"")*(Respuestas!$X$2:$X$3000&lt;&gt;"")*(Respuestas!$AI$2:$AI$3000&lt;&gt;1)*(Respuestas!$AV$2:$AV$3000&lt;&gt;"Sí")*(Respuestas!$AW$2:$AW$3000&lt;&gt;"No")*(((Respuestas!$B$2:$B$3000=$B$4)+($B$4=""))&gt;0)*(Respuestas!$CJ$2:$CJ$3000&lt;&gt;""))</f>
        <v/>
      </c>
      <c r="L13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CJ$2:$CJ$3000&lt;&gt;""),Respuestas!$CJ$2:$CJ$3000)/K13,"")</f>
        <v/>
      </c>
      <c r="M13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J$2:$CJ$3000&lt;&gt;""),Respuestas!$CJ$2:$CJ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J$2:$CJ$3000&lt;&gt;"")),"")</f>
        <v/>
      </c>
      <c r="N13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J$2:$CJ$3000&lt;&gt;""),Respuestas!$CJ$2:$CJ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J$2:$CJ$3000&lt;&gt;"")),"")</f>
        <v/>
      </c>
    </row>
    <row r="14">
      <c r="A14" s="6" t="inlineStr">
        <is>
          <t>D11</t>
        </is>
      </c>
      <c r="B14" s="6" t="inlineStr">
        <is>
          <t>Difícil</t>
        </is>
      </c>
      <c r="C14" s="6" t="inlineStr">
        <is>
          <t>Sí</t>
        </is>
      </c>
      <c r="D14" s="12" t="n">
        <v>1</v>
      </c>
      <c r="E14" s="12" t="n">
        <v>1</v>
      </c>
      <c r="F14" s="12" t="n">
        <v>1</v>
      </c>
      <c r="G14" s="11" t="n">
        <v>0</v>
      </c>
      <c r="H14" s="11" t="n">
        <v>0</v>
      </c>
      <c r="I14" s="6" t="n">
        <v>3</v>
      </c>
      <c r="J14" s="6" t="n">
        <v>2</v>
      </c>
      <c r="K14">
        <f>SUMPRODUCT((Respuestas!$U$2:$U$3000&lt;&gt;"")*(Respuestas!$X$2:$X$3000&lt;&gt;"")*(Respuestas!$AI$2:$AI$3000&lt;&gt;1)*(Respuestas!$AV$2:$AV$3000&lt;&gt;"Sí")*(Respuestas!$AW$2:$AW$3000&lt;&gt;"No")*(((Respuestas!$B$2:$B$3000=$B$4)+($B$4=""))&gt;0)*(Respuestas!$CN$2:$CN$3000&lt;&gt;""))</f>
        <v/>
      </c>
      <c r="L14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CN$2:$CN$3000&lt;&gt;""),Respuestas!$CN$2:$CN$3000)/K14,"")</f>
        <v/>
      </c>
      <c r="M14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N$2:$CN$3000&lt;&gt;""),Respuestas!$CN$2:$CN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N$2:$CN$3000&lt;&gt;"")),"")</f>
        <v/>
      </c>
      <c r="N14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N$2:$CN$3000&lt;&gt;""),Respuestas!$CN$2:$CN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N$2:$CN$3000&lt;&gt;"")),"")</f>
        <v/>
      </c>
    </row>
    <row r="15">
      <c r="A15" s="6" t="inlineStr">
        <is>
          <t>D12</t>
        </is>
      </c>
      <c r="B15" s="6" t="inlineStr">
        <is>
          <t>Difícil</t>
        </is>
      </c>
      <c r="C15" s="6" t="inlineStr">
        <is>
          <t>Sí</t>
        </is>
      </c>
      <c r="D15" s="12" t="n">
        <v>1</v>
      </c>
      <c r="E15" s="12" t="n">
        <v>1</v>
      </c>
      <c r="F15" s="12" t="n">
        <v>1</v>
      </c>
      <c r="G15" s="11" t="n">
        <v>0</v>
      </c>
      <c r="H15" s="11" t="n">
        <v>0</v>
      </c>
      <c r="I15" s="6" t="n">
        <v>3</v>
      </c>
      <c r="J15" s="6" t="n">
        <v>6</v>
      </c>
      <c r="K15">
        <f>SUMPRODUCT((Respuestas!$U$2:$U$3000&lt;&gt;"")*(Respuestas!$X$2:$X$3000&lt;&gt;"")*(Respuestas!$AI$2:$AI$3000&lt;&gt;1)*(Respuestas!$AV$2:$AV$3000&lt;&gt;"Sí")*(Respuestas!$AW$2:$AW$3000&lt;&gt;"No")*(((Respuestas!$B$2:$B$3000=$B$4)+($B$4=""))&gt;0)*(Respuestas!$CR$2:$CR$3000&lt;&gt;""))</f>
        <v/>
      </c>
      <c r="L15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CR$2:$CR$3000&lt;&gt;""),Respuestas!$CR$2:$CR$3000)/K15,"")</f>
        <v/>
      </c>
      <c r="M15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R$2:$CR$3000&lt;&gt;""),Respuestas!$CR$2:$CR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R$2:$CR$3000&lt;&gt;"")),"")</f>
        <v/>
      </c>
      <c r="N15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R$2:$CR$3000&lt;&gt;""),Respuestas!$CR$2:$CR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R$2:$CR$3000&lt;&gt;"")),"")</f>
        <v/>
      </c>
    </row>
    <row r="16">
      <c r="A16" s="6" t="inlineStr">
        <is>
          <t>D13</t>
        </is>
      </c>
      <c r="B16" s="6" t="inlineStr">
        <is>
          <t>Difícil</t>
        </is>
      </c>
      <c r="C16" s="6" t="inlineStr">
        <is>
          <t>No</t>
        </is>
      </c>
      <c r="D16" s="12" t="n">
        <v>1</v>
      </c>
      <c r="E16" s="12" t="n">
        <v>1</v>
      </c>
      <c r="F16" s="12" t="n">
        <v>1</v>
      </c>
      <c r="G16" s="11" t="n">
        <v>0</v>
      </c>
      <c r="H16" s="11" t="n">
        <v>0</v>
      </c>
      <c r="I16" s="6" t="n">
        <v>3</v>
      </c>
      <c r="J16" s="6" t="n">
        <v>3</v>
      </c>
      <c r="K16">
        <f>SUMPRODUCT((Respuestas!$U$2:$U$3000&lt;&gt;"")*(Respuestas!$X$2:$X$3000&lt;&gt;"")*(Respuestas!$AI$2:$AI$3000&lt;&gt;1)*(Respuestas!$AV$2:$AV$3000&lt;&gt;"Sí")*(Respuestas!$AW$2:$AW$3000&lt;&gt;"No")*(((Respuestas!$B$2:$B$3000=$B$4)+($B$4=""))&gt;0)*(Respuestas!$CV$2:$CV$3000&lt;&gt;""))</f>
        <v/>
      </c>
      <c r="L16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CV$2:$CV$3000&lt;&gt;""),Respuestas!$CV$2:$CV$3000)/K16,"")</f>
        <v/>
      </c>
      <c r="M16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V$2:$CV$3000&lt;&gt;""),Respuestas!$CV$2:$CV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V$2:$CV$3000&lt;&gt;"")),"")</f>
        <v/>
      </c>
      <c r="N16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V$2:$CV$3000&lt;&gt;""),Respuestas!$CV$2:$CV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V$2:$CV$3000&lt;&gt;"")),"")</f>
        <v/>
      </c>
    </row>
    <row r="17">
      <c r="A17" s="6" t="inlineStr">
        <is>
          <t>D14</t>
        </is>
      </c>
      <c r="B17" s="6" t="inlineStr">
        <is>
          <t>Difícil</t>
        </is>
      </c>
      <c r="C17" s="6" t="inlineStr">
        <is>
          <t>Sí</t>
        </is>
      </c>
      <c r="D17" s="12" t="n">
        <v>1</v>
      </c>
      <c r="E17" s="12" t="n">
        <v>1</v>
      </c>
      <c r="F17" s="11" t="n">
        <v>0</v>
      </c>
      <c r="G17" s="12" t="n">
        <v>1</v>
      </c>
      <c r="H17" s="11" t="n">
        <v>0</v>
      </c>
      <c r="I17" s="6" t="n">
        <v>3</v>
      </c>
      <c r="J17" s="6" t="n">
        <v>3</v>
      </c>
      <c r="K17">
        <f>SUMPRODUCT((Respuestas!$U$2:$U$3000&lt;&gt;"")*(Respuestas!$X$2:$X$3000&lt;&gt;"")*(Respuestas!$AI$2:$AI$3000&lt;&gt;1)*(Respuestas!$AV$2:$AV$3000&lt;&gt;"Sí")*(Respuestas!$AW$2:$AW$3000&lt;&gt;"No")*(((Respuestas!$B$2:$B$3000=$B$4)+($B$4=""))&gt;0)*(Respuestas!$CZ$2:$CZ$3000&lt;&gt;""))</f>
        <v/>
      </c>
      <c r="L17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CZ$2:$CZ$3000&lt;&gt;""),Respuestas!$CZ$2:$CZ$3000)/K17,"")</f>
        <v/>
      </c>
      <c r="M17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Z$2:$CZ$3000&lt;&gt;""),Respuestas!$CZ$2:$CZ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CZ$2:$CZ$3000&lt;&gt;"")),"")</f>
        <v/>
      </c>
      <c r="N17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Z$2:$CZ$3000&lt;&gt;""),Respuestas!$CZ$2:$CZ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CZ$2:$CZ$3000&lt;&gt;"")),"")</f>
        <v/>
      </c>
    </row>
    <row r="18">
      <c r="A18" s="6" t="inlineStr">
        <is>
          <t>D15</t>
        </is>
      </c>
      <c r="B18" s="6" t="inlineStr">
        <is>
          <t>Difícil</t>
        </is>
      </c>
      <c r="C18" s="6" t="inlineStr">
        <is>
          <t>Sí</t>
        </is>
      </c>
      <c r="D18" s="12" t="n">
        <v>1</v>
      </c>
      <c r="E18" s="12" t="n">
        <v>1</v>
      </c>
      <c r="F18" s="11" t="n">
        <v>0</v>
      </c>
      <c r="G18" s="12" t="n">
        <v>1</v>
      </c>
      <c r="H18" s="11" t="n">
        <v>0</v>
      </c>
      <c r="I18" s="6" t="n">
        <v>3</v>
      </c>
      <c r="J18" s="6" t="n">
        <v>4</v>
      </c>
      <c r="K18">
        <f>SUMPRODUCT((Respuestas!$U$2:$U$3000&lt;&gt;"")*(Respuestas!$X$2:$X$3000&lt;&gt;"")*(Respuestas!$AI$2:$AI$3000&lt;&gt;1)*(Respuestas!$AV$2:$AV$3000&lt;&gt;"Sí")*(Respuestas!$AW$2:$AW$3000&lt;&gt;"No")*(((Respuestas!$B$2:$B$3000=$B$4)+($B$4=""))&gt;0)*(Respuestas!$DD$2:$DD$3000&lt;&gt;""))</f>
        <v/>
      </c>
      <c r="L18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D$2:$DD$3000&lt;&gt;""),Respuestas!$DD$2:$DD$3000)/K18,"")</f>
        <v/>
      </c>
      <c r="M18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D$2:$DD$3000&lt;&gt;""),Respuestas!$DD$2:$DD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D$2:$DD$3000&lt;&gt;"")),"")</f>
        <v/>
      </c>
      <c r="N18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D$2:$DD$3000&lt;&gt;""),Respuestas!$DD$2:$DD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D$2:$DD$3000&lt;&gt;"")),"")</f>
        <v/>
      </c>
    </row>
    <row r="19">
      <c r="A19" s="6" t="inlineStr">
        <is>
          <t>D16</t>
        </is>
      </c>
      <c r="B19" s="6" t="inlineStr">
        <is>
          <t>Difícil</t>
        </is>
      </c>
      <c r="C19" s="6" t="inlineStr">
        <is>
          <t>Sí</t>
        </is>
      </c>
      <c r="D19" s="12" t="n">
        <v>1</v>
      </c>
      <c r="E19" s="12" t="n">
        <v>1</v>
      </c>
      <c r="F19" s="11" t="n">
        <v>0</v>
      </c>
      <c r="G19" s="12" t="n">
        <v>1</v>
      </c>
      <c r="H19" s="11" t="n">
        <v>0</v>
      </c>
      <c r="I19" s="6" t="n">
        <v>3</v>
      </c>
      <c r="J19" s="6" t="n">
        <v>3</v>
      </c>
      <c r="K19">
        <f>SUMPRODUCT((Respuestas!$U$2:$U$3000&lt;&gt;"")*(Respuestas!$X$2:$X$3000&lt;&gt;"")*(Respuestas!$AI$2:$AI$3000&lt;&gt;1)*(Respuestas!$AV$2:$AV$3000&lt;&gt;"Sí")*(Respuestas!$AW$2:$AW$3000&lt;&gt;"No")*(((Respuestas!$B$2:$B$3000=$B$4)+($B$4=""))&gt;0)*(Respuestas!$DH$2:$DH$3000&lt;&gt;""))</f>
        <v/>
      </c>
      <c r="L19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H$2:$DH$3000&lt;&gt;""),Respuestas!$DH$2:$DH$3000)/K19,"")</f>
        <v/>
      </c>
      <c r="M19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H$2:$DH$3000&lt;&gt;""),Respuestas!$DH$2:$DH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H$2:$DH$3000&lt;&gt;"")),"")</f>
        <v/>
      </c>
      <c r="N19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H$2:$DH$3000&lt;&gt;""),Respuestas!$DH$2:$DH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H$2:$DH$3000&lt;&gt;"")),"")</f>
        <v/>
      </c>
    </row>
    <row r="20">
      <c r="A20" s="6" t="inlineStr">
        <is>
          <t>D17</t>
        </is>
      </c>
      <c r="B20" s="6" t="inlineStr">
        <is>
          <t>Difícil</t>
        </is>
      </c>
      <c r="C20" s="6" t="inlineStr">
        <is>
          <t>No</t>
        </is>
      </c>
      <c r="D20" s="12" t="n">
        <v>1</v>
      </c>
      <c r="E20" s="12" t="n">
        <v>1</v>
      </c>
      <c r="F20" s="11" t="n">
        <v>0</v>
      </c>
      <c r="G20" s="12" t="n">
        <v>1</v>
      </c>
      <c r="H20" s="11" t="n">
        <v>0</v>
      </c>
      <c r="I20" s="6" t="n">
        <v>3</v>
      </c>
      <c r="J20" s="6" t="n">
        <v>7</v>
      </c>
      <c r="K20">
        <f>SUMPRODUCT((Respuestas!$U$2:$U$3000&lt;&gt;"")*(Respuestas!$X$2:$X$3000&lt;&gt;"")*(Respuestas!$AI$2:$AI$3000&lt;&gt;1)*(Respuestas!$AV$2:$AV$3000&lt;&gt;"Sí")*(Respuestas!$AW$2:$AW$3000&lt;&gt;"No")*(((Respuestas!$B$2:$B$3000=$B$4)+($B$4=""))&gt;0)*(Respuestas!$DL$2:$DL$3000&lt;&gt;""))</f>
        <v/>
      </c>
      <c r="L20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L$2:$DL$3000&lt;&gt;""),Respuestas!$DL$2:$DL$3000)/K20,"")</f>
        <v/>
      </c>
      <c r="M20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L$2:$DL$3000&lt;&gt;""),Respuestas!$DL$2:$DL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L$2:$DL$3000&lt;&gt;"")),"")</f>
        <v/>
      </c>
      <c r="N20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L$2:$DL$3000&lt;&gt;""),Respuestas!$DL$2:$DL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L$2:$DL$3000&lt;&gt;"")),"")</f>
        <v/>
      </c>
    </row>
    <row r="21">
      <c r="A21" s="6" t="inlineStr">
        <is>
          <t>D18</t>
        </is>
      </c>
      <c r="B21" s="6" t="inlineStr">
        <is>
          <t>Difícil</t>
        </is>
      </c>
      <c r="C21" s="6" t="inlineStr">
        <is>
          <t>No</t>
        </is>
      </c>
      <c r="D21" s="12" t="n">
        <v>1</v>
      </c>
      <c r="E21" s="12" t="n">
        <v>1</v>
      </c>
      <c r="F21" s="11" t="n">
        <v>0</v>
      </c>
      <c r="G21" s="12" t="n">
        <v>1</v>
      </c>
      <c r="H21" s="11" t="n">
        <v>0</v>
      </c>
      <c r="I21" s="6" t="n">
        <v>3</v>
      </c>
      <c r="J21" s="6" t="n">
        <v>1</v>
      </c>
      <c r="K21">
        <f>SUMPRODUCT((Respuestas!$U$2:$U$3000&lt;&gt;"")*(Respuestas!$X$2:$X$3000&lt;&gt;"")*(Respuestas!$AI$2:$AI$3000&lt;&gt;1)*(Respuestas!$AV$2:$AV$3000&lt;&gt;"Sí")*(Respuestas!$AW$2:$AW$3000&lt;&gt;"No")*(((Respuestas!$B$2:$B$3000=$B$4)+($B$4=""))&gt;0)*(Respuestas!$DP$2:$DP$3000&lt;&gt;""))</f>
        <v/>
      </c>
      <c r="L21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P$2:$DP$3000&lt;&gt;""),Respuestas!$DP$2:$DP$3000)/K21,"")</f>
        <v/>
      </c>
      <c r="M21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P$2:$DP$3000&lt;&gt;""),Respuestas!$DP$2:$DP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P$2:$DP$3000&lt;&gt;"")),"")</f>
        <v/>
      </c>
      <c r="N21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P$2:$DP$3000&lt;&gt;""),Respuestas!$DP$2:$DP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P$2:$DP$3000&lt;&gt;"")),"")</f>
        <v/>
      </c>
    </row>
    <row r="22">
      <c r="A22" s="6" t="inlineStr">
        <is>
          <t>D19</t>
        </is>
      </c>
      <c r="B22" s="6" t="inlineStr">
        <is>
          <t>Difícil</t>
        </is>
      </c>
      <c r="C22" s="6" t="inlineStr">
        <is>
          <t>Sí</t>
        </is>
      </c>
      <c r="D22" s="12" t="n">
        <v>1</v>
      </c>
      <c r="E22" s="12" t="n">
        <v>1</v>
      </c>
      <c r="F22" s="12" t="n">
        <v>1</v>
      </c>
      <c r="G22" s="11" t="n">
        <v>0</v>
      </c>
      <c r="H22" s="11" t="n">
        <v>0</v>
      </c>
      <c r="I22" s="6" t="n">
        <v>3</v>
      </c>
      <c r="J22" s="6" t="n">
        <v>5</v>
      </c>
      <c r="K22">
        <f>SUMPRODUCT((Respuestas!$U$2:$U$3000&lt;&gt;"")*(Respuestas!$X$2:$X$3000&lt;&gt;"")*(Respuestas!$AI$2:$AI$3000&lt;&gt;1)*(Respuestas!$AV$2:$AV$3000&lt;&gt;"Sí")*(Respuestas!$AW$2:$AW$3000&lt;&gt;"No")*(((Respuestas!$B$2:$B$3000=$B$4)+($B$4=""))&gt;0)*(Respuestas!$DT$2:$DT$3000&lt;&gt;""))</f>
        <v/>
      </c>
      <c r="L22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T$2:$DT$3000&lt;&gt;""),Respuestas!$DT$2:$DT$3000)/K22,"")</f>
        <v/>
      </c>
      <c r="M22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T$2:$DT$3000&lt;&gt;""),Respuestas!$DT$2:$DT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T$2:$DT$3000&lt;&gt;"")),"")</f>
        <v/>
      </c>
      <c r="N22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T$2:$DT$3000&lt;&gt;""),Respuestas!$DT$2:$DT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T$2:$DT$3000&lt;&gt;"")),"")</f>
        <v/>
      </c>
    </row>
    <row r="23">
      <c r="A23" s="6" t="inlineStr">
        <is>
          <t>D20</t>
        </is>
      </c>
      <c r="B23" s="6" t="inlineStr">
        <is>
          <t>Difícil</t>
        </is>
      </c>
      <c r="C23" s="6" t="inlineStr">
        <is>
          <t>No</t>
        </is>
      </c>
      <c r="D23" s="12" t="n">
        <v>1</v>
      </c>
      <c r="E23" s="12" t="n">
        <v>1</v>
      </c>
      <c r="F23" s="12" t="n">
        <v>1</v>
      </c>
      <c r="G23" s="11" t="n">
        <v>0</v>
      </c>
      <c r="H23" s="11" t="n">
        <v>0</v>
      </c>
      <c r="I23" s="6" t="n">
        <v>3</v>
      </c>
      <c r="J23" s="6" t="n">
        <v>4</v>
      </c>
      <c r="K23">
        <f>SUMPRODUCT((Respuestas!$U$2:$U$3000&lt;&gt;"")*(Respuestas!$X$2:$X$3000&lt;&gt;"")*(Respuestas!$AI$2:$AI$3000&lt;&gt;1)*(Respuestas!$AV$2:$AV$3000&lt;&gt;"Sí")*(Respuestas!$AW$2:$AW$3000&lt;&gt;"No")*(((Respuestas!$B$2:$B$3000=$B$4)+($B$4=""))&gt;0)*(Respuestas!$DX$2:$DX$3000&lt;&gt;""))</f>
        <v/>
      </c>
      <c r="L23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X$2:$DX$3000&lt;&gt;""),Respuestas!$DX$2:$DX$3000)/K23,"")</f>
        <v/>
      </c>
      <c r="M23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X$2:$DX$3000&lt;&gt;""),Respuestas!$DX$2:$DX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incentivo")*(Respuestas!$DX$2:$DX$3000&lt;&gt;"")),"")</f>
        <v/>
      </c>
      <c r="N23" s="13">
        <f>IFERROR(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X$2:$DX$3000&lt;&gt;""),Respuestas!$DX$2:$DX$3000)/SUMPRODUCT((Respuestas!$U$2:$U$3000&lt;&gt;"")*(Respuestas!$X$2:$X$3000&lt;&gt;"")*(Respuestas!$AI$2:$AI$3000&lt;&gt;1)*(Respuestas!$AV$2:$AV$3000&lt;&gt;"Sí")*(Respuestas!$AW$2:$AW$3000&lt;&gt;"No")*(((Respuestas!$B$2:$B$3000=$B$4)+($B$4=""))&gt;0)*(Respuestas!$D$2:$D$3000="control")*(Respuestas!$DX$2:$DX$3000&lt;&gt;"")),"")</f>
        <v/>
      </c>
    </row>
    <row r="25" ht="30" customHeight="1">
      <c r="A25" s="4" t="inlineStr">
        <is>
          <t>Matriz Q: 1 = el ítem usa esa regla. Fáciles: 1 regla. Difíciles: rotación de la figura principal + sustracción de líneas + una tercera regla. Ítems generados con IMak (Blum y Holling, 2018).</t>
        </is>
      </c>
    </row>
  </sheetData>
  <mergeCells count="1">
    <mergeCell ref="A25:N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Cómo funciona esta hoja</t>
        </is>
      </c>
    </row>
    <row r="2">
      <c r="A2" s="15" t="inlineStr">
        <is>
          <t>• «Respuestas»: una fila por participación. La escribe el Apps Script de la web; no edites ni reordenes las columnas.</t>
        </is>
      </c>
    </row>
    <row r="3">
      <c r="A3" s="15" t="inlineStr">
        <is>
          <t>• «Asignaciones»: registro de la aleatorización (bloques permutados de 4 por cohorte). Sirve para auditar que nadie elige su condición.</t>
        </is>
      </c>
    </row>
    <row r="4">
      <c r="A4" s="15" t="inlineStr">
        <is>
          <t>• «Resumen»: descriptivos, ANOVA mixto 2 × 2 y comprobación de la manipulación, en vivo. Escribe una cohorte en B4 para filtrar.</t>
        </is>
      </c>
    </row>
    <row r="5">
      <c r="A5" s="15" t="inlineStr">
        <is>
          <t>• «Items»: matriz Q (reglas de cada ítem) y proporción de aciertos de cada ítem.</t>
        </is>
      </c>
    </row>
    <row r="6">
      <c r="A6" s="15" t="inlineStr"/>
    </row>
    <row r="7">
      <c r="A7" s="15" t="inlineStr">
        <is>
          <t>Concurrencia: si dos personas envían a la vez, el script usa LockService y escribe una fila detrás de otra; además ignora filas con un id repetido.</t>
        </is>
      </c>
    </row>
    <row r="8">
      <c r="A8" s="15" t="inlineStr">
        <is>
          <t>Tiempos: &lt;ítem&gt;_tr = milisegundos desde que aparecen las opciones hasta la respuesta; &lt;ítem&gt;_resp: 1-8 = opción, 9 = ninguna, 10 = no sé, 0 = tiempo agotado.</t>
        </is>
      </c>
    </row>
    <row r="9">
      <c r="A9" s="15" t="inlineStr">
        <is>
          <t>Sospechoso = 1 si: muchas respuestas &lt; 2,5 s, mediana muy baja, misma opción repetida, duración muy corta o salidas de la pestaña (motivo en motivo_sospecha).</t>
        </is>
      </c>
    </row>
    <row r="10">
      <c r="A10" s="15" t="inlineStr">
        <is>
          <t>Privacidad: no se recogen nombres ni correos. Los códigos de premio (CAFE-xxxx) solo sirven para canjear el café.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2026-10-12T07:15:56Z</dcterms:created>
  <dcterms:modified xmlns:dcterms="http://purl.org/dc/terms/" xmlns:xsi="http://www.w3.org/2001/XMLSchema-instance" xsi:type="dcterms:W3CDTF">2026-10-12T07:15:57Z</dcterms:modified>
</cp:coreProperties>
</file>